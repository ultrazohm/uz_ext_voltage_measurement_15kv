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Tom Gaupp\Documents\2022_10_tom_gaupp_schmidt_messplatinen\00_Altium_Spannungsmessung_15kV\"/>
    </mc:Choice>
  </mc:AlternateContent>
  <xr:revisionPtr revIDLastSave="0" documentId="13_ncr:1_{DB02A2A1-9A91-4AE2-AEE6-E4E66D137AC2}" xr6:coauthVersionLast="47" xr6:coauthVersionMax="47" xr10:uidLastSave="{00000000-0000-0000-0000-000000000000}"/>
  <bookViews>
    <workbookView xWindow="2925" yWindow="3435" windowWidth="28800" windowHeight="15435" xr2:uid="{00000000-000D-0000-FFFF-FFFF00000000}"/>
  </bookViews>
  <sheets>
    <sheet name="REV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I43" i="1"/>
  <c r="I42" i="1"/>
  <c r="I35" i="1"/>
  <c r="I13" i="1"/>
  <c r="I14" i="1"/>
  <c r="I26" i="1"/>
  <c r="I20" i="1"/>
  <c r="I21" i="1"/>
  <c r="I11" i="1"/>
  <c r="I15" i="1"/>
  <c r="I16" i="1"/>
  <c r="I18" i="1"/>
  <c r="I17" i="1"/>
  <c r="I5" i="1"/>
  <c r="I31" i="1" s="1"/>
  <c r="I33" i="1" s="1"/>
  <c r="I6" i="1"/>
  <c r="I7" i="1"/>
  <c r="I8" i="1"/>
  <c r="I9" i="1"/>
  <c r="I4" i="1"/>
  <c r="I27" i="1"/>
  <c r="I29" i="1"/>
  <c r="I30" i="1"/>
</calcChain>
</file>

<file path=xl/sharedStrings.xml><?xml version="1.0" encoding="utf-8"?>
<sst xmlns="http://schemas.openxmlformats.org/spreadsheetml/2006/main" count="200" uniqueCount="153">
  <si>
    <t>Name</t>
  </si>
  <si>
    <t>Description</t>
  </si>
  <si>
    <t>Stk.</t>
  </si>
  <si>
    <t>Manufacturer</t>
  </si>
  <si>
    <t>Manufacturer Part Number</t>
  </si>
  <si>
    <t>Supplier</t>
  </si>
  <si>
    <t>Supplier Part Number</t>
  </si>
  <si>
    <t>Euro/Stk.</t>
  </si>
  <si>
    <t>Stk. Total</t>
  </si>
  <si>
    <t>Kondensatoren</t>
  </si>
  <si>
    <t>1 µF</t>
  </si>
  <si>
    <t>Mouser</t>
  </si>
  <si>
    <t>Kyocera AVX</t>
  </si>
  <si>
    <t>1600 pF</t>
  </si>
  <si>
    <t>KEMET</t>
  </si>
  <si>
    <t>C1206C162K3HACTU</t>
  </si>
  <si>
    <t>80-C1206C162K3HACTU</t>
  </si>
  <si>
    <t>100 nF</t>
  </si>
  <si>
    <t>Widerstände</t>
  </si>
  <si>
    <t>Vishay Dale</t>
  </si>
  <si>
    <t>Panasonic</t>
  </si>
  <si>
    <t>Yageo</t>
  </si>
  <si>
    <t>ERA-8AEB302V</t>
  </si>
  <si>
    <t>667-ERA-8AEB302V</t>
  </si>
  <si>
    <t>IC's</t>
  </si>
  <si>
    <t>Silicon Labs</t>
  </si>
  <si>
    <t>SI8920BC-IP</t>
  </si>
  <si>
    <t>Farnell</t>
  </si>
  <si>
    <t>ADA4940-1ARZ-R7</t>
  </si>
  <si>
    <t>Analog Devices</t>
  </si>
  <si>
    <t>584-ADA4940-1ARZ-R7</t>
  </si>
  <si>
    <t>Spannungsversorgung</t>
  </si>
  <si>
    <t>Cincon</t>
  </si>
  <si>
    <t>EC3SAW-24S05HP</t>
  </si>
  <si>
    <t>418-EC3SAW-24S05HP</t>
  </si>
  <si>
    <t>EC3SAW-24D05HP</t>
  </si>
  <si>
    <t>418-EC3SAW-24D05HP</t>
  </si>
  <si>
    <t>Verbindungsstücke</t>
  </si>
  <si>
    <t>7460719_M8</t>
  </si>
  <si>
    <t>Wurth Electronics</t>
  </si>
  <si>
    <t>710-7460719</t>
  </si>
  <si>
    <t>BNC-Buchse</t>
  </si>
  <si>
    <t>Samtec</t>
  </si>
  <si>
    <t>RJ45 Connector</t>
  </si>
  <si>
    <t>RJHSE-5381</t>
  </si>
  <si>
    <t>Amphenol Commercial</t>
  </si>
  <si>
    <t>523-RJHSE-5381</t>
  </si>
  <si>
    <t>Laborbuchse red</t>
  </si>
  <si>
    <t>FCR7350B, 1000V, 24A, RED</t>
  </si>
  <si>
    <t>Cliff</t>
  </si>
  <si>
    <t>FCR7350R</t>
  </si>
  <si>
    <t>1854508</t>
  </si>
  <si>
    <t>Laborbuchse Schwarz</t>
  </si>
  <si>
    <t>FCR7350B, 1000V, 24A, BLACK</t>
  </si>
  <si>
    <t>FCR7350B</t>
  </si>
  <si>
    <t>1854507</t>
  </si>
  <si>
    <t>50V 1uF X5R ±10% 0603  Multilayer Ceramic Capacitors MLCC - SMD/SMT ROHS</t>
  </si>
  <si>
    <t>Samsung</t>
  </si>
  <si>
    <t>CL10A105KB8NNNC</t>
  </si>
  <si>
    <t>Capacitor 1206, 25V, 1600pF, X8R, 10%</t>
  </si>
  <si>
    <t>15 pF</t>
  </si>
  <si>
    <t>Capacitor 0805, 25 VDC, 15 pF, X7R</t>
  </si>
  <si>
    <t>08053C150KAT2A</t>
  </si>
  <si>
    <t>581-08053C150KAT2A</t>
  </si>
  <si>
    <t>1000 pF</t>
  </si>
  <si>
    <t>Capacitor 1206, 200VDC, 1000pF, C0G, 5%</t>
  </si>
  <si>
    <t>80-C1206C102J2G</t>
  </si>
  <si>
    <t>Capacitor 0603, 6.3 VDC, 100 nF, X5R</t>
  </si>
  <si>
    <t>C0603C104K9PACTU</t>
  </si>
  <si>
    <t>80-C0603C104K9P</t>
  </si>
  <si>
    <t>1SS356VMFHTE-17</t>
  </si>
  <si>
    <t>Diode</t>
  </si>
  <si>
    <t>Rohm</t>
  </si>
  <si>
    <t>755-1SS356VMFHTE-17</t>
  </si>
  <si>
    <t>Integrated Circuit - Trennverstärker Isolated analog amplifier with 200 mV input</t>
  </si>
  <si>
    <t>Differential ADC Driver</t>
  </si>
  <si>
    <t>Isolierte DC/DC-Wandler – Durchsteckmontage 3W 9-36Vin 5Vout 600mA</t>
  </si>
  <si>
    <t>Isolierte DC/DC-Wandler – Durchsteckmontage 3W 9-36Vin +/-5Vout 300mA</t>
  </si>
  <si>
    <t>11,88</t>
  </si>
  <si>
    <t>82k</t>
  </si>
  <si>
    <t>SMD resistor 82Kohms .1% 25ppm</t>
  </si>
  <si>
    <t>TNPW120682K0BEEA</t>
  </si>
  <si>
    <t>71-TNPW120682K0BEEA</t>
  </si>
  <si>
    <t>10R</t>
  </si>
  <si>
    <t>82R</t>
  </si>
  <si>
    <t>SMD resistor 1/4W 82 ohm .1% 25ppm</t>
  </si>
  <si>
    <t>RT1206BRD0782RL</t>
  </si>
  <si>
    <t>603-RT1206BRD0782RL</t>
  </si>
  <si>
    <t>49R9</t>
  </si>
  <si>
    <t>100mW Thick Film Resistors ±100ppm/℃ ±1% 49.9Ω 0603 Chip Resistor - Surface Mount ROHS</t>
  </si>
  <si>
    <t>RC0603FR-0749R9L</t>
  </si>
  <si>
    <t>603-RC0603FR-0749R9L</t>
  </si>
  <si>
    <t>3k 0.1%</t>
  </si>
  <si>
    <t>Resistor - SMD 1206 3.0Kohm 0.1% 25ppm</t>
  </si>
  <si>
    <t>1k 0.1%</t>
  </si>
  <si>
    <t>187-CL10A105KB8NNNC</t>
  </si>
  <si>
    <t>Stückliste Projekt Spannungsmessung 15 kV</t>
  </si>
  <si>
    <t>Resistor - SMD 1206 1.0Kohm 0.1% 15ppm</t>
  </si>
  <si>
    <t>ERA-8APB102V</t>
  </si>
  <si>
    <t>667-ERA-8APB102V</t>
  </si>
  <si>
    <t xml:space="preserve">Dioden (Allzweck, Leistung, Schaltung) SWITCHING DIODE 35V </t>
  </si>
  <si>
    <t>C1206C102J2GACTU</t>
  </si>
  <si>
    <t>Capacitor 1206, 25V, 1uF, X7R, 5%</t>
  </si>
  <si>
    <t>C1206C105J3RACAUTO</t>
  </si>
  <si>
    <t>80-C1206C105J3RCAUTO</t>
  </si>
  <si>
    <t>634-SI8920BC-IP</t>
  </si>
  <si>
    <t>hier noch auf lager</t>
  </si>
  <si>
    <t>M8 Connector</t>
  </si>
  <si>
    <t>noch da</t>
  </si>
  <si>
    <t xml:space="preserve">SMD 1/10watt 10ohms 1% </t>
  </si>
  <si>
    <t>Vishay</t>
  </si>
  <si>
    <t xml:space="preserve">CRCW060310R0FKTA </t>
  </si>
  <si>
    <t>71-CRCW0603-10</t>
  </si>
  <si>
    <t xml:space="preserve">Sonstiges </t>
  </si>
  <si>
    <t>Abstandshülsen Kunststoff</t>
  </si>
  <si>
    <t xml:space="preserve">Plexiglasumhausung </t>
  </si>
  <si>
    <t>Link</t>
  </si>
  <si>
    <t>https://de.rs-online.com/web/p/abstandshalter/0325772</t>
  </si>
  <si>
    <t>M3 x M3, Länge 15mm, Nylon, Außen/Innen, Sechskant M3 M3, 5.6mm</t>
  </si>
  <si>
    <t xml:space="preserve">kümmert sich Fabian G </t>
  </si>
  <si>
    <t>50 stk. ~20 €</t>
  </si>
  <si>
    <t xml:space="preserve">Platine bei JLC </t>
  </si>
  <si>
    <t>Summe Bauteile</t>
  </si>
  <si>
    <t xml:space="preserve">für Bauteile pro Platine </t>
  </si>
  <si>
    <t>Platine bei JLC</t>
  </si>
  <si>
    <t>mit Bestückung</t>
  </si>
  <si>
    <t>für zwei bestückte Platinen</t>
  </si>
  <si>
    <t>Summe</t>
  </si>
  <si>
    <t xml:space="preserve">Kreditkarte </t>
  </si>
  <si>
    <t>€</t>
  </si>
  <si>
    <t>$</t>
  </si>
  <si>
    <t>geliefert</t>
  </si>
  <si>
    <t>Ersatzwiderstände 
(wenn Trennverstärker entfällt)</t>
  </si>
  <si>
    <t>499R</t>
  </si>
  <si>
    <t xml:space="preserve">SMD 499ohms .1% 25ppm </t>
  </si>
  <si>
    <t xml:space="preserve">TNPW1206499RBEEA </t>
  </si>
  <si>
    <t xml:space="preserve">71-TNPW1206499RBEEA </t>
  </si>
  <si>
    <t>4.99k</t>
  </si>
  <si>
    <t>SMD 1206 4.99Kohms 0.1%</t>
  </si>
  <si>
    <t>ERA-8APB4991V</t>
  </si>
  <si>
    <t>667-ERA-8APB4991V</t>
  </si>
  <si>
    <t>Lieferbar/Bestellt</t>
  </si>
  <si>
    <t>-&gt; bei JLC Global Sourcing bestellen: Distributor TME (300 stk ~ 22$)</t>
  </si>
  <si>
    <t>bei Mouser bestellt</t>
  </si>
  <si>
    <t>neue Kondensatoren für Tiefpassfilter (weil falsch bestellt)</t>
  </si>
  <si>
    <t>2 nF</t>
  </si>
  <si>
    <t xml:space="preserve">Capacitor 25V 2000pF X8R 1206 1%  </t>
  </si>
  <si>
    <t>Kemet</t>
  </si>
  <si>
    <t>C1206C202F3HACTU</t>
  </si>
  <si>
    <t>80-C1206C202F3HACTU</t>
  </si>
  <si>
    <t xml:space="preserve">BNC5-J-P-GN-ST-TH2D </t>
  </si>
  <si>
    <t>200-BNC5JPGNSTTH2D</t>
  </si>
  <si>
    <t>Footprint auf PCB korrigiert!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</si>
</sst>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3D3D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7" borderId="6" applyNumberFormat="0" applyFont="0" applyAlignment="0" applyProtection="0"/>
    <xf numFmtId="0" fontId="5" fillId="9" borderId="0" applyNumberFormat="0" applyBorder="0" applyAlignment="0" applyProtection="0"/>
  </cellStyleXfs>
  <cellXfs count="49">
    <xf numFmtId="0" fontId="0" fillId="0" borderId="0" xfId="0"/>
    <xf numFmtId="0" fontId="0" fillId="4" borderId="2" xfId="0" applyFill="1" applyBorder="1"/>
    <xf numFmtId="0" fontId="0" fillId="0" borderId="2" xfId="0" quotePrefix="1" applyBorder="1"/>
    <xf numFmtId="0" fontId="0" fillId="0" borderId="2" xfId="0" applyBorder="1"/>
    <xf numFmtId="2" fontId="0" fillId="0" borderId="2" xfId="0" applyNumberFormat="1" applyBorder="1"/>
    <xf numFmtId="2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vertical="center"/>
    </xf>
    <xf numFmtId="2" fontId="0" fillId="0" borderId="3" xfId="0" applyNumberFormat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3" fillId="8" borderId="6" xfId="3" applyFont="1" applyFill="1"/>
    <xf numFmtId="0" fontId="0" fillId="8" borderId="6" xfId="3" applyFont="1" applyFill="1"/>
    <xf numFmtId="0" fontId="0" fillId="7" borderId="6" xfId="3" applyFont="1"/>
    <xf numFmtId="2" fontId="0" fillId="0" borderId="0" xfId="0" applyNumberFormat="1"/>
    <xf numFmtId="0" fontId="1" fillId="2" borderId="2" xfId="1" applyBorder="1"/>
    <xf numFmtId="0" fontId="0" fillId="4" borderId="3" xfId="0" applyFill="1" applyBorder="1"/>
    <xf numFmtId="0" fontId="0" fillId="6" borderId="3" xfId="0" applyFill="1" applyBorder="1"/>
    <xf numFmtId="0" fontId="2" fillId="6" borderId="3" xfId="2" applyFill="1" applyBorder="1"/>
    <xf numFmtId="0" fontId="1" fillId="6" borderId="3" xfId="1" applyFill="1" applyBorder="1"/>
    <xf numFmtId="0" fontId="2" fillId="3" borderId="3" xfId="2" applyBorder="1"/>
    <xf numFmtId="0" fontId="0" fillId="4" borderId="0" xfId="0" applyFill="1"/>
    <xf numFmtId="0" fontId="0" fillId="0" borderId="2" xfId="0" applyBorder="1" applyAlignment="1">
      <alignment vertical="center"/>
    </xf>
    <xf numFmtId="0" fontId="0" fillId="8" borderId="0" xfId="0" applyFill="1" applyAlignment="1">
      <alignment wrapText="1"/>
    </xf>
    <xf numFmtId="0" fontId="0" fillId="8" borderId="0" xfId="0" applyFill="1"/>
    <xf numFmtId="0" fontId="5" fillId="9" borderId="2" xfId="4" applyBorder="1"/>
    <xf numFmtId="2" fontId="5" fillId="9" borderId="2" xfId="4" applyNumberFormat="1" applyBorder="1" applyAlignment="1">
      <alignment horizontal="right"/>
    </xf>
    <xf numFmtId="2" fontId="5" fillId="9" borderId="3" xfId="4" applyNumberFormat="1" applyBorder="1" applyAlignment="1">
      <alignment horizontal="right"/>
    </xf>
    <xf numFmtId="0" fontId="5" fillId="9" borderId="3" xfId="4" quotePrefix="1" applyBorder="1"/>
    <xf numFmtId="0" fontId="1" fillId="6" borderId="2" xfId="1" applyFill="1" applyBorder="1"/>
    <xf numFmtId="0" fontId="0" fillId="6" borderId="2" xfId="0" applyFill="1" applyBorder="1"/>
    <xf numFmtId="0" fontId="2" fillId="3" borderId="2" xfId="2" applyBorder="1"/>
    <xf numFmtId="0" fontId="0" fillId="0" borderId="2" xfId="0" applyBorder="1" applyAlignment="1">
      <alignment horizontal="left" vertical="top"/>
    </xf>
    <xf numFmtId="0" fontId="5" fillId="9" borderId="2" xfId="4" applyBorder="1" applyAlignment="1">
      <alignment vertical="center"/>
    </xf>
    <xf numFmtId="0" fontId="1" fillId="2" borderId="2" xfId="1" applyBorder="1" applyAlignment="1">
      <alignment wrapText="1"/>
    </xf>
    <xf numFmtId="0" fontId="0" fillId="10" borderId="0" xfId="0" applyFill="1"/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3" xfId="0" quotePrefix="1" applyFill="1" applyBorder="1" applyAlignment="1">
      <alignment horizontal="left"/>
    </xf>
    <xf numFmtId="0" fontId="0" fillId="5" borderId="4" xfId="0" quotePrefix="1" applyFill="1" applyBorder="1" applyAlignment="1">
      <alignment horizontal="left"/>
    </xf>
    <xf numFmtId="0" fontId="0" fillId="5" borderId="5" xfId="0" quotePrefix="1" applyFill="1" applyBorder="1" applyAlignment="1">
      <alignment horizontal="left"/>
    </xf>
    <xf numFmtId="0" fontId="0" fillId="0" borderId="0" xfId="0" applyFont="1" applyAlignment="1">
      <alignment vertical="center"/>
    </xf>
  </cellXfs>
  <cellStyles count="5">
    <cellStyle name="Gut" xfId="1" builtinId="26"/>
    <cellStyle name="Neutral" xfId="4" builtinId="28"/>
    <cellStyle name="Notiz" xfId="3" builtinId="10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abSelected="1" topLeftCell="A3" zoomScaleNormal="100" workbookViewId="0">
      <selection activeCell="K17" sqref="K17"/>
    </sheetView>
  </sheetViews>
  <sheetFormatPr baseColWidth="10" defaultColWidth="9.140625" defaultRowHeight="15" x14ac:dyDescent="0.25"/>
  <cols>
    <col min="1" max="1" width="36" bestFit="1" customWidth="1"/>
    <col min="2" max="2" width="53.42578125" customWidth="1"/>
    <col min="3" max="3" width="4.28515625" bestFit="1" customWidth="1"/>
    <col min="4" max="4" width="13.140625" customWidth="1"/>
    <col min="5" max="5" width="21.7109375" customWidth="1"/>
    <col min="6" max="6" width="8.42578125" bestFit="1" customWidth="1"/>
    <col min="7" max="7" width="23.140625" bestFit="1" customWidth="1"/>
    <col min="10" max="10" width="60" customWidth="1"/>
    <col min="11" max="11" width="8.7109375" bestFit="1" customWidth="1"/>
  </cols>
  <sheetData>
    <row r="1" spans="1:18" x14ac:dyDescent="0.25">
      <c r="A1" s="43" t="s">
        <v>96</v>
      </c>
      <c r="B1" s="44"/>
      <c r="C1" s="44"/>
      <c r="D1" s="44"/>
      <c r="E1" s="44"/>
      <c r="F1" s="44"/>
      <c r="G1" s="44"/>
      <c r="H1" s="44"/>
      <c r="I1" s="44"/>
    </row>
    <row r="2" spans="1: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0" t="s">
        <v>141</v>
      </c>
      <c r="K2" s="1" t="s">
        <v>131</v>
      </c>
    </row>
    <row r="3" spans="1:18" x14ac:dyDescent="0.25">
      <c r="A3" s="11" t="s">
        <v>9</v>
      </c>
      <c r="B3" s="12"/>
      <c r="C3" s="12"/>
      <c r="D3" s="12"/>
      <c r="E3" s="12"/>
      <c r="F3" s="12"/>
      <c r="G3" s="12"/>
      <c r="H3" s="12"/>
      <c r="I3" s="13"/>
      <c r="J3" s="11">
        <v>3</v>
      </c>
      <c r="K3" s="25"/>
      <c r="L3" s="14"/>
      <c r="M3" s="14"/>
      <c r="N3" s="14"/>
      <c r="O3" s="14"/>
      <c r="P3" s="14"/>
      <c r="Q3" s="14"/>
      <c r="R3" s="14"/>
    </row>
    <row r="4" spans="1:18" x14ac:dyDescent="0.25">
      <c r="A4" s="3" t="s">
        <v>10</v>
      </c>
      <c r="B4" s="3" t="s">
        <v>56</v>
      </c>
      <c r="C4" s="3">
        <v>13</v>
      </c>
      <c r="D4" s="3" t="s">
        <v>57</v>
      </c>
      <c r="E4" s="3" t="s">
        <v>58</v>
      </c>
      <c r="F4" s="3" t="s">
        <v>11</v>
      </c>
      <c r="G4" s="3" t="s">
        <v>95</v>
      </c>
      <c r="H4" s="5">
        <v>0.126</v>
      </c>
      <c r="I4" s="8">
        <f>H4*C4</f>
        <v>1.6379999999999999</v>
      </c>
      <c r="J4" s="21"/>
      <c r="K4" s="19">
        <v>39</v>
      </c>
    </row>
    <row r="5" spans="1:18" x14ac:dyDescent="0.25">
      <c r="A5" s="3" t="s">
        <v>13</v>
      </c>
      <c r="B5" s="3" t="s">
        <v>59</v>
      </c>
      <c r="C5" s="3">
        <v>2</v>
      </c>
      <c r="D5" s="3" t="s">
        <v>14</v>
      </c>
      <c r="E5" s="3" t="s">
        <v>15</v>
      </c>
      <c r="F5" s="3" t="s">
        <v>11</v>
      </c>
      <c r="G5" s="3" t="s">
        <v>16</v>
      </c>
      <c r="H5" s="5">
        <v>0.16200000000000001</v>
      </c>
      <c r="I5" s="8">
        <f t="shared" ref="I5:I9" si="0">H5*C5</f>
        <v>0.32400000000000001</v>
      </c>
      <c r="J5" s="21"/>
      <c r="K5" s="19">
        <v>6</v>
      </c>
    </row>
    <row r="6" spans="1:18" x14ac:dyDescent="0.25">
      <c r="A6" s="3" t="s">
        <v>60</v>
      </c>
      <c r="B6" s="3" t="s">
        <v>61</v>
      </c>
      <c r="C6" s="3">
        <v>2</v>
      </c>
      <c r="D6" s="3" t="s">
        <v>12</v>
      </c>
      <c r="E6" s="3" t="s">
        <v>62</v>
      </c>
      <c r="F6" s="3" t="s">
        <v>11</v>
      </c>
      <c r="G6" s="3" t="s">
        <v>63</v>
      </c>
      <c r="H6" s="5">
        <v>0.189</v>
      </c>
      <c r="I6" s="8">
        <f t="shared" si="0"/>
        <v>0.378</v>
      </c>
      <c r="J6" s="21"/>
      <c r="K6" s="19">
        <v>6</v>
      </c>
    </row>
    <row r="7" spans="1:18" x14ac:dyDescent="0.25">
      <c r="A7" s="29" t="s">
        <v>64</v>
      </c>
      <c r="B7" s="29" t="s">
        <v>65</v>
      </c>
      <c r="C7" s="29">
        <v>150</v>
      </c>
      <c r="D7" s="29" t="s">
        <v>14</v>
      </c>
      <c r="E7" s="37" t="s">
        <v>101</v>
      </c>
      <c r="F7" s="29" t="s">
        <v>11</v>
      </c>
      <c r="G7" s="29" t="s">
        <v>66</v>
      </c>
      <c r="H7" s="30">
        <v>0.24299999999999999</v>
      </c>
      <c r="I7" s="31">
        <f t="shared" si="0"/>
        <v>36.449999999999996</v>
      </c>
      <c r="J7" s="32" t="s">
        <v>142</v>
      </c>
      <c r="K7" s="3"/>
    </row>
    <row r="8" spans="1:18" x14ac:dyDescent="0.25">
      <c r="A8" s="3" t="s">
        <v>10</v>
      </c>
      <c r="B8" s="3" t="s">
        <v>102</v>
      </c>
      <c r="C8" s="3">
        <v>2</v>
      </c>
      <c r="D8" s="3" t="s">
        <v>14</v>
      </c>
      <c r="E8" s="7" t="s">
        <v>103</v>
      </c>
      <c r="F8" s="3" t="s">
        <v>11</v>
      </c>
      <c r="G8" s="3" t="s">
        <v>104</v>
      </c>
      <c r="H8" s="5">
        <v>0.35099999999999998</v>
      </c>
      <c r="I8" s="8">
        <f t="shared" si="0"/>
        <v>0.70199999999999996</v>
      </c>
      <c r="J8" s="22"/>
      <c r="K8" s="19">
        <v>6</v>
      </c>
    </row>
    <row r="9" spans="1:18" x14ac:dyDescent="0.25">
      <c r="A9" s="3" t="s">
        <v>17</v>
      </c>
      <c r="B9" s="3" t="s">
        <v>67</v>
      </c>
      <c r="C9" s="3">
        <v>4</v>
      </c>
      <c r="D9" s="3" t="s">
        <v>14</v>
      </c>
      <c r="E9" s="3" t="s">
        <v>68</v>
      </c>
      <c r="F9" s="3" t="s">
        <v>11</v>
      </c>
      <c r="G9" s="3" t="s">
        <v>69</v>
      </c>
      <c r="H9" s="5">
        <v>0.16200000000000001</v>
      </c>
      <c r="I9" s="8">
        <f t="shared" si="0"/>
        <v>0.64800000000000002</v>
      </c>
      <c r="J9" s="21"/>
      <c r="K9" s="19">
        <v>12</v>
      </c>
    </row>
    <row r="10" spans="1:18" x14ac:dyDescent="0.25">
      <c r="A10" s="45" t="s">
        <v>71</v>
      </c>
      <c r="B10" s="46"/>
      <c r="C10" s="46"/>
      <c r="D10" s="46"/>
      <c r="E10" s="46"/>
      <c r="F10" s="46"/>
      <c r="G10" s="46"/>
      <c r="H10" s="46"/>
      <c r="I10" s="46"/>
      <c r="J10" s="46"/>
      <c r="K10" s="47"/>
    </row>
    <row r="11" spans="1:18" x14ac:dyDescent="0.25">
      <c r="A11" s="3" t="s">
        <v>70</v>
      </c>
      <c r="B11" s="7" t="s">
        <v>100</v>
      </c>
      <c r="C11" s="3">
        <v>4</v>
      </c>
      <c r="D11" s="3" t="s">
        <v>72</v>
      </c>
      <c r="E11" s="3" t="s">
        <v>70</v>
      </c>
      <c r="F11" s="3" t="s">
        <v>11</v>
      </c>
      <c r="G11" s="3" t="s">
        <v>73</v>
      </c>
      <c r="H11" s="3">
        <v>0.38700000000000001</v>
      </c>
      <c r="I11" s="9">
        <f>H11*C11</f>
        <v>1.548</v>
      </c>
      <c r="J11" s="21"/>
      <c r="K11" s="19">
        <v>12</v>
      </c>
    </row>
    <row r="12" spans="1:18" x14ac:dyDescent="0.25">
      <c r="A12" s="45" t="s">
        <v>18</v>
      </c>
      <c r="B12" s="46"/>
      <c r="C12" s="46"/>
      <c r="D12" s="46"/>
      <c r="E12" s="46"/>
      <c r="F12" s="46"/>
      <c r="G12" s="46"/>
      <c r="H12" s="46"/>
      <c r="I12" s="46"/>
      <c r="J12" s="46"/>
      <c r="K12" s="47"/>
    </row>
    <row r="13" spans="1:18" x14ac:dyDescent="0.25">
      <c r="A13" s="3" t="s">
        <v>79</v>
      </c>
      <c r="B13" s="3" t="s">
        <v>80</v>
      </c>
      <c r="C13" s="3">
        <v>150</v>
      </c>
      <c r="D13" s="3" t="s">
        <v>19</v>
      </c>
      <c r="E13" s="3" t="s">
        <v>81</v>
      </c>
      <c r="F13" s="3" t="s">
        <v>11</v>
      </c>
      <c r="G13" s="3" t="s">
        <v>82</v>
      </c>
      <c r="H13" s="3">
        <v>0.31900000000000001</v>
      </c>
      <c r="I13" s="3">
        <f>H13*C13</f>
        <v>47.85</v>
      </c>
      <c r="J13" s="38" t="s">
        <v>143</v>
      </c>
      <c r="K13" s="19">
        <v>320</v>
      </c>
    </row>
    <row r="14" spans="1:18" x14ac:dyDescent="0.25">
      <c r="A14" s="3" t="s">
        <v>83</v>
      </c>
      <c r="B14" s="3" t="s">
        <v>109</v>
      </c>
      <c r="C14" s="3">
        <v>2</v>
      </c>
      <c r="D14" s="3" t="s">
        <v>110</v>
      </c>
      <c r="E14" s="26" t="s">
        <v>111</v>
      </c>
      <c r="F14" s="3" t="s">
        <v>11</v>
      </c>
      <c r="G14" s="3" t="s">
        <v>112</v>
      </c>
      <c r="H14" s="6">
        <v>0.11700000000000001</v>
      </c>
      <c r="I14" s="6">
        <f>H14*C14</f>
        <v>0.23400000000000001</v>
      </c>
      <c r="J14" s="33"/>
      <c r="K14" s="19">
        <v>6</v>
      </c>
    </row>
    <row r="15" spans="1:18" x14ac:dyDescent="0.25">
      <c r="A15" s="3" t="s">
        <v>84</v>
      </c>
      <c r="B15" s="3" t="s">
        <v>85</v>
      </c>
      <c r="C15" s="3">
        <v>2</v>
      </c>
      <c r="D15" s="3" t="s">
        <v>21</v>
      </c>
      <c r="E15" s="3" t="s">
        <v>86</v>
      </c>
      <c r="F15" s="3" t="s">
        <v>11</v>
      </c>
      <c r="G15" s="3" t="s">
        <v>87</v>
      </c>
      <c r="H15" s="6">
        <v>0.58499999999999996</v>
      </c>
      <c r="I15" s="6">
        <f t="shared" ref="I15" si="1">H15*C15</f>
        <v>1.17</v>
      </c>
      <c r="J15" s="34"/>
      <c r="K15" s="19">
        <v>10</v>
      </c>
    </row>
    <row r="16" spans="1:18" x14ac:dyDescent="0.25">
      <c r="A16" s="3" t="s">
        <v>88</v>
      </c>
      <c r="B16" s="3" t="s">
        <v>89</v>
      </c>
      <c r="C16" s="3">
        <v>2</v>
      </c>
      <c r="D16" s="3" t="s">
        <v>21</v>
      </c>
      <c r="E16" s="3" t="s">
        <v>90</v>
      </c>
      <c r="F16" s="3" t="s">
        <v>11</v>
      </c>
      <c r="G16" s="3" t="s">
        <v>91</v>
      </c>
      <c r="H16" s="6">
        <v>0.09</v>
      </c>
      <c r="I16" s="6">
        <f>H16*C16</f>
        <v>0.18</v>
      </c>
      <c r="J16" s="34"/>
      <c r="K16" s="19">
        <v>10</v>
      </c>
    </row>
    <row r="17" spans="1:11" x14ac:dyDescent="0.25">
      <c r="A17" s="3" t="s">
        <v>92</v>
      </c>
      <c r="B17" s="3" t="s">
        <v>93</v>
      </c>
      <c r="C17" s="3">
        <v>2</v>
      </c>
      <c r="D17" s="3" t="s">
        <v>20</v>
      </c>
      <c r="E17" s="3" t="s">
        <v>22</v>
      </c>
      <c r="F17" s="3" t="s">
        <v>11</v>
      </c>
      <c r="G17" s="3" t="s">
        <v>23</v>
      </c>
      <c r="H17" s="6">
        <v>0.432</v>
      </c>
      <c r="I17" s="6">
        <f>H17*C17</f>
        <v>0.86399999999999999</v>
      </c>
      <c r="J17" s="34"/>
      <c r="K17" s="19">
        <v>10</v>
      </c>
    </row>
    <row r="18" spans="1:11" x14ac:dyDescent="0.25">
      <c r="A18" s="3" t="s">
        <v>94</v>
      </c>
      <c r="B18" s="3" t="s">
        <v>97</v>
      </c>
      <c r="C18" s="3">
        <v>2</v>
      </c>
      <c r="D18" s="3" t="s">
        <v>20</v>
      </c>
      <c r="E18" s="26" t="s">
        <v>98</v>
      </c>
      <c r="F18" s="3" t="s">
        <v>11</v>
      </c>
      <c r="G18" s="3" t="s">
        <v>99</v>
      </c>
      <c r="H18" s="6">
        <v>0.80100000000000005</v>
      </c>
      <c r="I18" s="6">
        <f>H18*C18</f>
        <v>1.6020000000000001</v>
      </c>
      <c r="J18" s="33"/>
      <c r="K18" s="19">
        <v>6</v>
      </c>
    </row>
    <row r="19" spans="1:11" x14ac:dyDescent="0.25">
      <c r="A19" s="40" t="s">
        <v>24</v>
      </c>
      <c r="B19" s="41"/>
      <c r="C19" s="41"/>
      <c r="D19" s="41"/>
      <c r="E19" s="41"/>
      <c r="F19" s="41"/>
      <c r="G19" s="41"/>
      <c r="H19" s="41"/>
      <c r="I19" s="41"/>
      <c r="J19" s="41"/>
      <c r="K19" s="42"/>
    </row>
    <row r="20" spans="1:11" x14ac:dyDescent="0.25">
      <c r="A20" s="3" t="s">
        <v>26</v>
      </c>
      <c r="B20" s="3" t="s">
        <v>74</v>
      </c>
      <c r="C20" s="3">
        <v>1</v>
      </c>
      <c r="D20" s="3" t="s">
        <v>25</v>
      </c>
      <c r="E20" s="3" t="s">
        <v>26</v>
      </c>
      <c r="F20" s="3" t="s">
        <v>11</v>
      </c>
      <c r="G20" s="3" t="s">
        <v>105</v>
      </c>
      <c r="H20" s="3">
        <v>5.91</v>
      </c>
      <c r="I20" s="9">
        <f>H20*C20</f>
        <v>5.91</v>
      </c>
      <c r="J20" s="23"/>
      <c r="K20" s="19">
        <v>3</v>
      </c>
    </row>
    <row r="21" spans="1:11" x14ac:dyDescent="0.25">
      <c r="A21" s="3" t="s">
        <v>28</v>
      </c>
      <c r="B21" s="3" t="s">
        <v>75</v>
      </c>
      <c r="C21" s="3">
        <v>1</v>
      </c>
      <c r="D21" s="3" t="s">
        <v>29</v>
      </c>
      <c r="E21" s="3" t="s">
        <v>28</v>
      </c>
      <c r="F21" s="3" t="s">
        <v>11</v>
      </c>
      <c r="G21" s="3" t="s">
        <v>30</v>
      </c>
      <c r="H21" s="3">
        <v>5.26</v>
      </c>
      <c r="I21" s="9">
        <f>H21*C21</f>
        <v>5.26</v>
      </c>
      <c r="J21" s="23"/>
      <c r="K21" s="19">
        <v>3</v>
      </c>
    </row>
    <row r="22" spans="1:11" x14ac:dyDescent="0.25">
      <c r="A22" s="40" t="s">
        <v>31</v>
      </c>
      <c r="B22" s="41"/>
      <c r="C22" s="41"/>
      <c r="D22" s="41"/>
      <c r="E22" s="41"/>
      <c r="F22" s="41"/>
      <c r="G22" s="41"/>
      <c r="H22" s="41"/>
      <c r="I22" s="41"/>
      <c r="J22" s="9"/>
      <c r="K22" s="3"/>
    </row>
    <row r="23" spans="1:11" x14ac:dyDescent="0.25">
      <c r="A23" s="3" t="s">
        <v>33</v>
      </c>
      <c r="B23" s="3" t="s">
        <v>76</v>
      </c>
      <c r="C23" s="3">
        <v>1</v>
      </c>
      <c r="D23" s="3" t="s">
        <v>32</v>
      </c>
      <c r="E23" s="3" t="s">
        <v>33</v>
      </c>
      <c r="F23" s="3" t="s">
        <v>11</v>
      </c>
      <c r="G23" s="3" t="s">
        <v>34</v>
      </c>
      <c r="H23" s="6" t="s">
        <v>78</v>
      </c>
      <c r="I23" s="10" t="s">
        <v>78</v>
      </c>
      <c r="J23" s="24" t="s">
        <v>106</v>
      </c>
      <c r="K23" s="35"/>
    </row>
    <row r="24" spans="1:11" x14ac:dyDescent="0.25">
      <c r="A24" s="3" t="s">
        <v>35</v>
      </c>
      <c r="B24" s="3" t="s">
        <v>77</v>
      </c>
      <c r="C24" s="3">
        <v>1</v>
      </c>
      <c r="D24" s="3" t="s">
        <v>32</v>
      </c>
      <c r="E24" s="3" t="s">
        <v>35</v>
      </c>
      <c r="F24" s="3" t="s">
        <v>11</v>
      </c>
      <c r="G24" s="3" t="s">
        <v>36</v>
      </c>
      <c r="H24" s="6" t="s">
        <v>78</v>
      </c>
      <c r="I24" s="10" t="s">
        <v>78</v>
      </c>
      <c r="J24" s="21"/>
      <c r="K24" s="19">
        <v>1</v>
      </c>
    </row>
    <row r="25" spans="1:11" x14ac:dyDescent="0.25">
      <c r="A25" s="40" t="s">
        <v>37</v>
      </c>
      <c r="B25" s="41"/>
      <c r="C25" s="41"/>
      <c r="D25" s="41"/>
      <c r="E25" s="41"/>
      <c r="F25" s="41"/>
      <c r="G25" s="41"/>
      <c r="H25" s="41"/>
      <c r="I25" s="41"/>
      <c r="J25" s="41"/>
      <c r="K25" s="42"/>
    </row>
    <row r="26" spans="1:11" x14ac:dyDescent="0.25">
      <c r="A26" s="2" t="s">
        <v>107</v>
      </c>
      <c r="B26" s="3" t="s">
        <v>38</v>
      </c>
      <c r="C26" s="3">
        <v>2</v>
      </c>
      <c r="D26" s="3" t="s">
        <v>39</v>
      </c>
      <c r="E26" s="36">
        <v>7460719</v>
      </c>
      <c r="F26" s="3" t="s">
        <v>11</v>
      </c>
      <c r="G26" s="3" t="s">
        <v>40</v>
      </c>
      <c r="H26" s="3">
        <v>6.11</v>
      </c>
      <c r="I26" s="3">
        <f>H26*C26</f>
        <v>12.22</v>
      </c>
      <c r="J26" s="21"/>
      <c r="K26" s="19">
        <v>4</v>
      </c>
    </row>
    <row r="27" spans="1:11" x14ac:dyDescent="0.25">
      <c r="A27" s="2" t="s">
        <v>41</v>
      </c>
      <c r="B27" s="48" t="s">
        <v>150</v>
      </c>
      <c r="C27" s="3">
        <v>2</v>
      </c>
      <c r="D27" s="2" t="s">
        <v>42</v>
      </c>
      <c r="E27" s="48" t="s">
        <v>150</v>
      </c>
      <c r="F27" s="2" t="s">
        <v>11</v>
      </c>
      <c r="G27" t="s">
        <v>151</v>
      </c>
      <c r="H27" s="4">
        <v>7.58</v>
      </c>
      <c r="I27" s="4">
        <f t="shared" ref="I27:I30" si="2">C27*H27</f>
        <v>15.16</v>
      </c>
      <c r="J27" s="19" t="s">
        <v>152</v>
      </c>
      <c r="K27" s="19">
        <v>3</v>
      </c>
    </row>
    <row r="28" spans="1:11" x14ac:dyDescent="0.25">
      <c r="A28" s="2" t="s">
        <v>43</v>
      </c>
      <c r="B28" s="2" t="s">
        <v>44</v>
      </c>
      <c r="C28" s="3">
        <v>1</v>
      </c>
      <c r="D28" s="2" t="s">
        <v>45</v>
      </c>
      <c r="E28" s="2" t="s">
        <v>44</v>
      </c>
      <c r="F28" s="2" t="s">
        <v>11</v>
      </c>
      <c r="G28" s="2" t="s">
        <v>46</v>
      </c>
      <c r="H28" s="4">
        <v>1.85</v>
      </c>
      <c r="I28" s="4">
        <f t="shared" si="2"/>
        <v>1.85</v>
      </c>
      <c r="J28" s="21"/>
      <c r="K28" s="19">
        <v>3</v>
      </c>
    </row>
    <row r="29" spans="1:11" x14ac:dyDescent="0.25">
      <c r="A29" s="2" t="s">
        <v>47</v>
      </c>
      <c r="B29" s="2" t="s">
        <v>48</v>
      </c>
      <c r="C29" s="3">
        <v>2</v>
      </c>
      <c r="D29" s="2" t="s">
        <v>49</v>
      </c>
      <c r="E29" s="2" t="s">
        <v>50</v>
      </c>
      <c r="F29" s="2" t="s">
        <v>27</v>
      </c>
      <c r="G29" s="2" t="s">
        <v>51</v>
      </c>
      <c r="H29" s="4">
        <v>6.04</v>
      </c>
      <c r="I29" s="4">
        <f t="shared" si="2"/>
        <v>12.08</v>
      </c>
      <c r="J29" s="21" t="s">
        <v>108</v>
      </c>
      <c r="K29" s="3"/>
    </row>
    <row r="30" spans="1:11" x14ac:dyDescent="0.25">
      <c r="A30" s="2" t="s">
        <v>52</v>
      </c>
      <c r="B30" s="2" t="s">
        <v>53</v>
      </c>
      <c r="C30" s="3">
        <v>2</v>
      </c>
      <c r="D30" s="2" t="s">
        <v>49</v>
      </c>
      <c r="E30" s="2" t="s">
        <v>54</v>
      </c>
      <c r="F30" s="2" t="s">
        <v>27</v>
      </c>
      <c r="G30" s="2" t="s">
        <v>55</v>
      </c>
      <c r="H30" s="4">
        <v>6.04</v>
      </c>
      <c r="I30" s="4">
        <f t="shared" si="2"/>
        <v>12.08</v>
      </c>
      <c r="J30" s="21" t="s">
        <v>108</v>
      </c>
      <c r="K30" s="3"/>
    </row>
    <row r="31" spans="1:11" x14ac:dyDescent="0.25">
      <c r="G31" t="s">
        <v>122</v>
      </c>
      <c r="I31" s="18">
        <f>SUM(I4:I9,I11,I13:I18,I20:I21,I23:I24,I26:I30)</f>
        <v>158.14800000000002</v>
      </c>
      <c r="J31" t="s">
        <v>123</v>
      </c>
    </row>
    <row r="32" spans="1:11" x14ac:dyDescent="0.25">
      <c r="G32" t="s">
        <v>124</v>
      </c>
      <c r="I32">
        <v>112</v>
      </c>
      <c r="J32" t="s">
        <v>125</v>
      </c>
    </row>
    <row r="33" spans="1:11" x14ac:dyDescent="0.25">
      <c r="A33" t="s">
        <v>121</v>
      </c>
      <c r="G33" t="s">
        <v>11</v>
      </c>
      <c r="I33" s="18">
        <f>I31-I7</f>
        <v>121.69800000000004</v>
      </c>
      <c r="J33" t="s">
        <v>129</v>
      </c>
    </row>
    <row r="34" spans="1:11" x14ac:dyDescent="0.25">
      <c r="G34" t="s">
        <v>127</v>
      </c>
      <c r="J34" t="s">
        <v>126</v>
      </c>
    </row>
    <row r="35" spans="1:11" x14ac:dyDescent="0.25">
      <c r="G35" t="s">
        <v>128</v>
      </c>
      <c r="I35">
        <f>I32+22</f>
        <v>134</v>
      </c>
      <c r="J35" t="s">
        <v>130</v>
      </c>
    </row>
    <row r="37" spans="1:11" x14ac:dyDescent="0.25">
      <c r="A37" s="15" t="s">
        <v>113</v>
      </c>
      <c r="B37" s="16"/>
      <c r="C37" s="16"/>
      <c r="D37" s="16"/>
      <c r="E37" s="16"/>
      <c r="F37" s="16"/>
      <c r="G37" s="16"/>
      <c r="H37" s="16"/>
      <c r="I37" s="16"/>
      <c r="J37" s="16"/>
      <c r="K37" s="1" t="s">
        <v>131</v>
      </c>
    </row>
    <row r="38" spans="1:11" x14ac:dyDescent="0.25">
      <c r="A38" t="s">
        <v>114</v>
      </c>
      <c r="B38" s="7" t="s">
        <v>118</v>
      </c>
      <c r="D38" t="s">
        <v>116</v>
      </c>
      <c r="E38" t="s">
        <v>117</v>
      </c>
      <c r="J38" t="s">
        <v>120</v>
      </c>
    </row>
    <row r="39" spans="1:11" x14ac:dyDescent="0.25">
      <c r="A39" t="s">
        <v>115</v>
      </c>
      <c r="J39" s="17" t="s">
        <v>119</v>
      </c>
    </row>
    <row r="41" spans="1:11" ht="30" x14ac:dyDescent="0.25">
      <c r="A41" s="27" t="s">
        <v>132</v>
      </c>
      <c r="B41" s="28"/>
      <c r="C41" s="28"/>
      <c r="D41" s="28"/>
      <c r="E41" s="28"/>
      <c r="F41" s="28"/>
      <c r="G41" s="28"/>
      <c r="H41" s="28"/>
      <c r="I41" s="28"/>
      <c r="J41" s="28"/>
      <c r="K41" s="1" t="s">
        <v>131</v>
      </c>
    </row>
    <row r="42" spans="1:11" x14ac:dyDescent="0.25">
      <c r="A42" s="3" t="s">
        <v>133</v>
      </c>
      <c r="B42" s="26" t="s">
        <v>134</v>
      </c>
      <c r="C42" s="3">
        <v>10</v>
      </c>
      <c r="D42" s="3" t="s">
        <v>110</v>
      </c>
      <c r="E42" s="26" t="s">
        <v>135</v>
      </c>
      <c r="F42" s="3" t="s">
        <v>11</v>
      </c>
      <c r="G42" s="3" t="s">
        <v>136</v>
      </c>
      <c r="H42" s="3">
        <v>0.56999999999999995</v>
      </c>
      <c r="I42" s="3">
        <f>H42*C42</f>
        <v>5.6999999999999993</v>
      </c>
      <c r="J42" s="19"/>
      <c r="K42" s="19">
        <v>6</v>
      </c>
    </row>
    <row r="43" spans="1:11" x14ac:dyDescent="0.25">
      <c r="A43" s="3" t="s">
        <v>137</v>
      </c>
      <c r="B43" s="26" t="s">
        <v>138</v>
      </c>
      <c r="C43" s="3">
        <v>10</v>
      </c>
      <c r="D43" s="3" t="s">
        <v>20</v>
      </c>
      <c r="E43" s="26" t="s">
        <v>139</v>
      </c>
      <c r="F43" s="3" t="s">
        <v>11</v>
      </c>
      <c r="G43" s="3" t="s">
        <v>140</v>
      </c>
      <c r="H43" s="3">
        <v>0.8</v>
      </c>
      <c r="I43" s="3">
        <f>H43*C43</f>
        <v>8</v>
      </c>
      <c r="J43" s="19"/>
      <c r="K43" s="19">
        <v>6</v>
      </c>
    </row>
    <row r="46" spans="1:11" x14ac:dyDescent="0.25">
      <c r="A46" s="39" t="s">
        <v>144</v>
      </c>
      <c r="B46" s="39"/>
      <c r="C46" s="39"/>
      <c r="D46" s="39"/>
      <c r="E46" s="39"/>
      <c r="F46" s="39"/>
      <c r="G46" s="39"/>
      <c r="H46" s="39"/>
      <c r="I46" s="39"/>
      <c r="J46" s="39"/>
    </row>
    <row r="47" spans="1:11" x14ac:dyDescent="0.25">
      <c r="A47" t="s">
        <v>145</v>
      </c>
      <c r="B47" t="s">
        <v>146</v>
      </c>
      <c r="C47">
        <v>2</v>
      </c>
      <c r="D47" t="s">
        <v>147</v>
      </c>
      <c r="E47" s="7" t="s">
        <v>148</v>
      </c>
      <c r="F47" t="s">
        <v>11</v>
      </c>
      <c r="G47" t="s">
        <v>149</v>
      </c>
    </row>
  </sheetData>
  <mergeCells count="6">
    <mergeCell ref="A25:K25"/>
    <mergeCell ref="A1:I1"/>
    <mergeCell ref="A22:I22"/>
    <mergeCell ref="A10:K10"/>
    <mergeCell ref="A12:K12"/>
    <mergeCell ref="A19:K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REV02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ELSYS</dc:creator>
  <cp:lastModifiedBy>gauppto78442</cp:lastModifiedBy>
  <dcterms:created xsi:type="dcterms:W3CDTF">2015-06-05T18:19:34Z</dcterms:created>
  <dcterms:modified xsi:type="dcterms:W3CDTF">2023-11-08T12:10:06Z</dcterms:modified>
</cp:coreProperties>
</file>